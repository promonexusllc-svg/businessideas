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  <sheet xmlns:r="http://schemas.openxmlformats.org/officeDocument/2006/relationships" name="Annual 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B0B0B0"/>
      <sz val="11"/>
    </font>
    <font>
      <name val="Calibri"/>
      <b val="1"/>
      <color rgb="0053A8B6"/>
      <sz val="14"/>
    </font>
    <font>
      <name val="Calibri"/>
      <color rgb="006C757D"/>
      <sz val="10"/>
    </font>
    <font>
      <name val="Calibri"/>
      <b val="1"/>
      <color rgb="001A1A2E"/>
      <sz val="16"/>
    </font>
    <font>
      <name val="Calibri"/>
      <b val="1"/>
      <color rgb="00E94560"/>
      <sz val="16"/>
    </font>
    <font>
      <name val="Calibri"/>
      <b val="1"/>
      <color rgb="0027AE60"/>
      <sz val="16"/>
    </font>
    <font>
      <name val="Calibri"/>
      <color rgb="006C757D"/>
      <sz val="9"/>
    </font>
    <font>
      <name val="Calibri"/>
      <b val="1"/>
      <color rgb="00FFFFFF"/>
      <sz val="11"/>
    </font>
    <font>
      <name val="Calibri"/>
      <b val="1"/>
      <color rgb="006C757D"/>
      <sz val="10"/>
    </font>
    <font>
      <name val="Calibri"/>
      <color rgb="00333333"/>
      <sz val="11"/>
    </font>
    <font>
      <name val="Calibri"/>
      <color rgb="000066CC"/>
      <sz val="11"/>
    </font>
    <font>
      <name val="Calibri"/>
      <b val="1"/>
      <color rgb="001A1A2E"/>
      <sz val="12"/>
    </font>
    <font>
      <name val="Calibri"/>
      <b val="1"/>
      <color rgb="000F3460"/>
      <sz val="11"/>
    </font>
    <font>
      <name val="Calibri"/>
      <b val="1"/>
      <color rgb="002ECC71"/>
      <sz val="11"/>
    </font>
    <font>
      <name val="Calibri"/>
      <b val="1"/>
      <color rgb="002C3E50"/>
      <sz val="11"/>
    </font>
    <font>
      <name val="Calibri"/>
      <b val="1"/>
      <color rgb="008E44AD"/>
      <sz val="11"/>
    </font>
    <font>
      <name val="Calibri"/>
      <b val="1"/>
      <color rgb="00E67E22"/>
      <sz val="11"/>
    </font>
    <font>
      <name val="Calibri"/>
      <b val="1"/>
      <color rgb="0027AE60"/>
      <sz val="11"/>
    </font>
    <font>
      <name val="Calibri"/>
      <b val="1"/>
      <color rgb="00E94560"/>
      <sz val="11"/>
    </font>
    <font>
      <name val="Calibri"/>
      <b val="1"/>
      <color rgb="0053A8B6"/>
      <sz val="11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A2A4E"/>
      </patternFill>
    </fill>
    <fill>
      <patternFill patternType="solid">
        <fgColor rgb="00E8F6F8"/>
      </patternFill>
    </fill>
    <fill>
      <patternFill patternType="solid">
        <fgColor rgb="00FDE8EB"/>
      </patternFill>
    </fill>
    <fill>
      <patternFill patternType="solid">
        <fgColor rgb="00E8F5E9"/>
      </patternFill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2C3E50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27AE60"/>
      </patternFill>
    </fill>
  </fills>
  <borders count="3">
    <border>
      <left/>
      <right/>
      <top/>
      <bottom/>
      <diagonal/>
    </border>
    <border>
      <bottom style="thin">
        <color rgb="00E0E0E0"/>
      </bottom>
    </border>
    <border>
      <bottom style="medium">
        <color rgb="001A1A2E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6" fillId="5" borderId="0" applyAlignment="1" pivotButton="0" quotePrefix="0" xfId="0">
      <alignment horizontal="center" vertical="center"/>
    </xf>
    <xf numFmtId="164" fontId="7" fillId="6" borderId="0" applyAlignment="1" pivotButton="0" quotePrefix="0" xfId="0">
      <alignment horizontal="center" vertical="center"/>
    </xf>
    <xf numFmtId="0" fontId="8" fillId="4" borderId="0" pivotButton="0" quotePrefix="0" xfId="0"/>
    <xf numFmtId="0" fontId="8" fillId="5" borderId="0" pivotButton="0" quotePrefix="0" xfId="0"/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center" vertical="center"/>
    </xf>
    <xf numFmtId="0" fontId="10" fillId="8" borderId="1" pivotButton="0" quotePrefix="0" xfId="0"/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164" fontId="13" fillId="9" borderId="1" applyAlignment="1" pivotButton="0" quotePrefix="0" xfId="0">
      <alignment horizontal="center" vertical="center"/>
    </xf>
    <xf numFmtId="0" fontId="11" fillId="9" borderId="1" pivotButton="0" quotePrefix="0" xfId="0"/>
    <xf numFmtId="164" fontId="12" fillId="9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center" vertical="center"/>
    </xf>
    <xf numFmtId="0" fontId="11" fillId="8" borderId="1" pivotButton="0" quotePrefix="0" xfId="0"/>
    <xf numFmtId="164" fontId="12" fillId="8" borderId="1" applyAlignment="1" pivotButton="0" quotePrefix="0" xfId="0">
      <alignment horizontal="center" vertical="center"/>
    </xf>
    <xf numFmtId="0" fontId="13" fillId="4" borderId="2" pivotButton="0" quotePrefix="0" xfId="0"/>
    <xf numFmtId="164" fontId="13" fillId="4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3" fillId="5" borderId="2" pivotButton="0" quotePrefix="0" xfId="0"/>
    <xf numFmtId="0" fontId="0" fillId="5" borderId="2" pivotButton="0" quotePrefix="0" xfId="0"/>
    <xf numFmtId="164" fontId="13" fillId="5" borderId="2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12" borderId="0" applyAlignment="1" pivotButton="0" quotePrefix="0" xfId="0">
      <alignment horizontal="left" vertical="center"/>
    </xf>
    <xf numFmtId="0" fontId="9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left" vertical="center"/>
    </xf>
    <xf numFmtId="0" fontId="9" fillId="13" borderId="0" applyAlignment="1" pivotButton="0" quotePrefix="0" xfId="0">
      <alignment horizontal="center" vertical="center"/>
    </xf>
    <xf numFmtId="0" fontId="15" fillId="0" borderId="0" pivotButton="0" quotePrefix="0" xfId="0"/>
    <xf numFmtId="165" fontId="12" fillId="9" borderId="1" applyAlignment="1" pivotButton="0" quotePrefix="0" xfId="0">
      <alignment horizontal="center" vertical="center"/>
    </xf>
    <xf numFmtId="165" fontId="13" fillId="9" borderId="1" applyAlignment="1" pivotButton="0" quotePrefix="0" xfId="0">
      <alignment horizontal="center" vertical="center"/>
    </xf>
    <xf numFmtId="0" fontId="14" fillId="0" borderId="0" pivotButton="0" quotePrefix="0" xfId="0"/>
    <xf numFmtId="165" fontId="12" fillId="8" borderId="1" applyAlignment="1" pivotButton="0" quotePrefix="0" xfId="0">
      <alignment horizontal="center" vertical="center"/>
    </xf>
    <xf numFmtId="165" fontId="13" fillId="8" borderId="1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165" fontId="20" fillId="9" borderId="1" applyAlignment="1" pivotButton="0" quotePrefix="0" xfId="0">
      <alignment horizontal="center" vertical="center"/>
    </xf>
    <xf numFmtId="0" fontId="21" fillId="0" borderId="0" pivotButton="0" quotePrefix="0" xfId="0"/>
    <xf numFmtId="165" fontId="2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plotArea>
      <pieChart>
        <varyColors val="1"/>
        <ser>
          <idx val="0"/>
          <order val="0"/>
          <tx>
            <strRef>
              <f>'Monthly Budget'!H10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F346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C3E5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Percent val="1"/>
          </dLbls>
          <cat>
            <numRef>
              <f>'Monthly Budget'!$G$11:$G$15</f>
            </numRef>
          </cat>
          <val>
            <numRef>
              <f>'Monthly Budget'!$H$11:$H$15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53A8B6"/>
    <outlinePr summaryBelow="1" summaryRight="1"/>
    <pageSetUpPr/>
  </sheetPr>
  <dimension ref="A1:I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3" customWidth="1" min="6" max="6"/>
    <col width="22" customWidth="1" min="7" max="7"/>
    <col width="16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MONTHLY BUDGET TRACKER</t>
        </is>
      </c>
      <c r="F2" s="1" t="n"/>
      <c r="G2" s="3" t="inlineStr">
        <is>
          <t>Month:</t>
        </is>
      </c>
      <c r="H2" s="4" t="inlineStr">
        <is>
          <t>April 2026</t>
        </is>
      </c>
      <c r="I2" s="1" t="n"/>
    </row>
    <row r="3">
      <c r="A3" s="1" t="n"/>
      <c r="B3" s="5" t="inlineStr">
        <is>
          <t>Track your income and expenses • Stay on top of your finances</t>
        </is>
      </c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6">
      <c r="B6" s="6" t="inlineStr">
        <is>
          <t>💰 TOTAL INCOME</t>
        </is>
      </c>
      <c r="D6" s="7" t="inlineStr">
        <is>
          <t>📊 TOTAL EXPENSES</t>
        </is>
      </c>
      <c r="G6" s="8" t="inlineStr">
        <is>
          <t>✨ NET BALANCE</t>
        </is>
      </c>
    </row>
    <row r="7">
      <c r="B7" s="9">
        <f>SUM(C12:C16)</f>
        <v/>
      </c>
      <c r="D7" s="10">
        <f>D22+D31+D40+D47+D53</f>
        <v/>
      </c>
      <c r="G7" s="11">
        <f>B7-D7</f>
        <v/>
      </c>
    </row>
    <row r="8">
      <c r="B8" s="12" t="n"/>
      <c r="D8" s="13" t="n"/>
      <c r="G8" s="14">
        <f>IF(B7=0,"",TEXT(G7/B7,"0%") &amp; " savings rate")</f>
        <v/>
      </c>
    </row>
    <row r="10">
      <c r="B10" s="15" t="inlineStr">
        <is>
          <t>INCOME</t>
        </is>
      </c>
      <c r="D10" s="16" t="inlineStr">
        <is>
          <t>Planned</t>
        </is>
      </c>
      <c r="E10" s="16" t="inlineStr">
        <is>
          <t>Actual</t>
        </is>
      </c>
      <c r="G10" s="16" t="inlineStr">
        <is>
          <t>EXPENSE BREAKDOWN</t>
        </is>
      </c>
    </row>
    <row r="11">
      <c r="B11" s="17" t="inlineStr">
        <is>
          <t>Source</t>
        </is>
      </c>
      <c r="C11" s="18" t="inlineStr">
        <is>
          <t>Amount</t>
        </is>
      </c>
      <c r="D11" s="18" t="n"/>
      <c r="E11" s="18" t="n"/>
      <c r="G11" s="19" t="inlineStr">
        <is>
          <t>🏠 Housing</t>
        </is>
      </c>
      <c r="H11" s="20">
        <f>D24</f>
        <v/>
      </c>
    </row>
    <row r="12">
      <c r="B12" s="21" t="inlineStr">
        <is>
          <t>Primary Salary</t>
        </is>
      </c>
      <c r="C12" s="22" t="n">
        <v>4500</v>
      </c>
      <c r="D12" s="22" t="n"/>
      <c r="E12" s="22" t="n"/>
      <c r="G12" s="23" t="inlineStr">
        <is>
          <t>🚗 Transportation</t>
        </is>
      </c>
      <c r="H12" s="24">
        <f>D32</f>
        <v/>
      </c>
    </row>
    <row r="13">
      <c r="B13" s="25" t="inlineStr">
        <is>
          <t>Side Hustle / Freelance</t>
        </is>
      </c>
      <c r="C13" s="26" t="n">
        <v>500</v>
      </c>
      <c r="D13" s="26" t="n"/>
      <c r="E13" s="26" t="n"/>
      <c r="G13" s="19" t="inlineStr">
        <is>
          <t>🍽️ Food &amp; Dining</t>
        </is>
      </c>
      <c r="H13" s="20">
        <f>D39</f>
        <v/>
      </c>
    </row>
    <row r="14">
      <c r="B14" s="21" t="inlineStr">
        <is>
          <t>Passive Income</t>
        </is>
      </c>
      <c r="C14" s="22" t="n">
        <v>0</v>
      </c>
      <c r="D14" s="22" t="n"/>
      <c r="E14" s="22" t="n"/>
      <c r="G14" s="23" t="inlineStr">
        <is>
          <t>💪 Personal &amp; Health</t>
        </is>
      </c>
      <c r="H14" s="24">
        <f>D47</f>
        <v/>
      </c>
    </row>
    <row r="15">
      <c r="B15" s="25" t="inlineStr">
        <is>
          <t>Investment Returns</t>
        </is>
      </c>
      <c r="C15" s="26" t="n">
        <v>0</v>
      </c>
      <c r="D15" s="26" t="n"/>
      <c r="E15" s="26" t="n"/>
      <c r="G15" s="19" t="inlineStr">
        <is>
          <t>📈 Savings &amp; Debt</t>
        </is>
      </c>
      <c r="H15" s="20">
        <f>D54</f>
        <v/>
      </c>
    </row>
    <row r="16">
      <c r="B16" s="21" t="inlineStr">
        <is>
          <t>Other Income</t>
        </is>
      </c>
      <c r="C16" s="22" t="n">
        <v>0</v>
      </c>
      <c r="D16" s="22" t="n"/>
      <c r="E16" s="22" t="n"/>
    </row>
    <row r="17">
      <c r="B17" s="27" t="inlineStr">
        <is>
          <t>TOTAL INCOME</t>
        </is>
      </c>
      <c r="C17" s="28">
        <f>SUM(C12:C16)</f>
        <v/>
      </c>
      <c r="D17" s="28">
        <f>SUM(D12:D16)</f>
        <v/>
      </c>
      <c r="E17" s="28">
        <f>SUM(E12:E16)</f>
        <v/>
      </c>
    </row>
    <row r="19">
      <c r="B19" s="15" t="inlineStr">
        <is>
          <t>🏠 HOUSING</t>
        </is>
      </c>
      <c r="C19" s="29" t="n"/>
      <c r="D19" s="16" t="inlineStr">
        <is>
          <t>Budgeted</t>
        </is>
      </c>
      <c r="E19" s="16" t="inlineStr">
        <is>
          <t>Actual</t>
        </is>
      </c>
    </row>
    <row r="20">
      <c r="B20" s="21" t="inlineStr">
        <is>
          <t>Rent / Mortgage</t>
        </is>
      </c>
      <c r="C20" s="21" t="n"/>
      <c r="D20" s="22" t="n">
        <v>1200</v>
      </c>
      <c r="E20" s="22" t="n"/>
    </row>
    <row r="21">
      <c r="B21" s="25" t="inlineStr">
        <is>
          <t>Utilities (Electric/Gas/Water)</t>
        </is>
      </c>
      <c r="C21" s="25" t="n"/>
      <c r="D21" s="26" t="n">
        <v>150</v>
      </c>
      <c r="E21" s="26" t="n"/>
    </row>
    <row r="22">
      <c r="B22" s="21" t="inlineStr">
        <is>
          <t>Internet / Phone</t>
        </is>
      </c>
      <c r="C22" s="21" t="n"/>
      <c r="D22" s="22" t="n">
        <v>100</v>
      </c>
      <c r="E22" s="22" t="n"/>
    </row>
    <row r="23">
      <c r="B23" s="25" t="inlineStr">
        <is>
          <t>Home Insurance</t>
        </is>
      </c>
      <c r="C23" s="25" t="n"/>
      <c r="D23" s="26" t="n">
        <v>80</v>
      </c>
      <c r="E23" s="26" t="n"/>
    </row>
    <row r="24">
      <c r="B24" s="30" t="inlineStr">
        <is>
          <t>TOTAL HOUSING</t>
        </is>
      </c>
      <c r="C24" s="31" t="n"/>
      <c r="D24" s="32">
        <f>SUM(D20:D23)</f>
        <v/>
      </c>
      <c r="E24" s="32">
        <f>SUM(E20:E23)</f>
        <v/>
      </c>
    </row>
    <row r="26">
      <c r="B26" s="33" t="inlineStr">
        <is>
          <t>🚗 TRANSPORTATION</t>
        </is>
      </c>
      <c r="C26" s="29" t="n"/>
      <c r="D26" s="34" t="inlineStr">
        <is>
          <t>Budgeted</t>
        </is>
      </c>
      <c r="E26" s="34" t="inlineStr">
        <is>
          <t>Actual</t>
        </is>
      </c>
    </row>
    <row r="27">
      <c r="B27" s="21" t="inlineStr">
        <is>
          <t>Car Payment</t>
        </is>
      </c>
      <c r="C27" s="21" t="n"/>
      <c r="D27" s="22" t="n">
        <v>350</v>
      </c>
      <c r="E27" s="22" t="n"/>
    </row>
    <row r="28">
      <c r="B28" s="25" t="inlineStr">
        <is>
          <t>Gas / Fuel</t>
        </is>
      </c>
      <c r="C28" s="25" t="n"/>
      <c r="D28" s="26" t="n">
        <v>120</v>
      </c>
      <c r="E28" s="26" t="n"/>
    </row>
    <row r="29">
      <c r="B29" s="21" t="inlineStr">
        <is>
          <t>Car Insurance</t>
        </is>
      </c>
      <c r="C29" s="21" t="n"/>
      <c r="D29" s="22" t="n">
        <v>100</v>
      </c>
      <c r="E29" s="22" t="n"/>
    </row>
    <row r="30">
      <c r="B30" s="25" t="inlineStr">
        <is>
          <t>Maintenance / Repairs</t>
        </is>
      </c>
      <c r="C30" s="25" t="n"/>
      <c r="D30" s="26" t="n">
        <v>50</v>
      </c>
      <c r="E30" s="26" t="n"/>
    </row>
    <row r="31">
      <c r="B31" s="21" t="inlineStr">
        <is>
          <t>Public Transit / Parking</t>
        </is>
      </c>
      <c r="C31" s="21" t="n"/>
      <c r="D31" s="22" t="n">
        <v>0</v>
      </c>
      <c r="E31" s="22" t="n"/>
    </row>
    <row r="32">
      <c r="B32" s="30" t="inlineStr">
        <is>
          <t>TOTAL TRANSPORTATION</t>
        </is>
      </c>
      <c r="C32" s="31" t="n"/>
      <c r="D32" s="32">
        <f>SUM(D27:D31)</f>
        <v/>
      </c>
      <c r="E32" s="32">
        <f>SUM(E27:E31)</f>
        <v/>
      </c>
    </row>
    <row r="33">
      <c r="G33" s="35" t="inlineStr">
        <is>
          <t>💡 QUICK TIPS</t>
        </is>
      </c>
    </row>
    <row r="34">
      <c r="B34" s="36" t="inlineStr">
        <is>
          <t>🍽️ FOOD &amp; DINING</t>
        </is>
      </c>
      <c r="C34" s="29" t="n"/>
      <c r="D34" s="37" t="inlineStr">
        <is>
          <t>Budgeted</t>
        </is>
      </c>
      <c r="E34" s="37" t="inlineStr">
        <is>
          <t>Actual</t>
        </is>
      </c>
      <c r="G34" s="38" t="inlineStr">
        <is>
          <t>• Blue cells are for your input</t>
        </is>
      </c>
    </row>
    <row r="35">
      <c r="B35" s="21" t="inlineStr">
        <is>
          <t>Groceries</t>
        </is>
      </c>
      <c r="C35" s="21" t="n"/>
      <c r="D35" s="22" t="n">
        <v>400</v>
      </c>
      <c r="E35" s="22" t="n"/>
      <c r="G35" s="38" t="inlineStr">
        <is>
          <t>• Totals calculate automatically</t>
        </is>
      </c>
    </row>
    <row r="36">
      <c r="B36" s="25" t="inlineStr">
        <is>
          <t>Dining Out / Takeout</t>
        </is>
      </c>
      <c r="C36" s="25" t="n"/>
      <c r="D36" s="26" t="n">
        <v>150</v>
      </c>
      <c r="E36" s="26" t="n"/>
      <c r="G36" s="38" t="inlineStr">
        <is>
          <t>• Aim for 20% savings rate</t>
        </is>
      </c>
    </row>
    <row r="37">
      <c r="B37" s="21" t="inlineStr">
        <is>
          <t>Coffee / Snacks</t>
        </is>
      </c>
      <c r="C37" s="21" t="n"/>
      <c r="D37" s="22" t="n">
        <v>50</v>
      </c>
      <c r="E37" s="22" t="n"/>
      <c r="G37" s="38" t="inlineStr">
        <is>
          <t>• Review weekly for best results</t>
        </is>
      </c>
    </row>
    <row r="38">
      <c r="B38" s="25" t="inlineStr">
        <is>
          <t>Meal Delivery / Subscriptions</t>
        </is>
      </c>
      <c r="C38" s="25" t="n"/>
      <c r="D38" s="26" t="n">
        <v>30</v>
      </c>
      <c r="E38" s="26" t="n"/>
      <c r="G38" s="38" t="inlineStr">
        <is>
          <t>• Adjust categories to fit your life</t>
        </is>
      </c>
    </row>
    <row r="39">
      <c r="B39" s="30" t="inlineStr">
        <is>
          <t>TOTAL FOOD &amp; DINING</t>
        </is>
      </c>
      <c r="C39" s="31" t="n"/>
      <c r="D39" s="32">
        <f>SUM(D35:D38)</f>
        <v/>
      </c>
      <c r="E39" s="32">
        <f>SUM(E35:E38)</f>
        <v/>
      </c>
    </row>
    <row r="41">
      <c r="B41" s="39" t="inlineStr">
        <is>
          <t>💪 PERSONAL &amp; HEALTH</t>
        </is>
      </c>
      <c r="C41" s="29" t="n"/>
      <c r="D41" s="40" t="inlineStr">
        <is>
          <t>Budgeted</t>
        </is>
      </c>
      <c r="E41" s="40" t="inlineStr">
        <is>
          <t>Actual</t>
        </is>
      </c>
    </row>
    <row r="42">
      <c r="B42" s="21" t="inlineStr">
        <is>
          <t>Health Insurance</t>
        </is>
      </c>
      <c r="C42" s="21" t="n"/>
      <c r="D42" s="22" t="n">
        <v>200</v>
      </c>
      <c r="E42" s="22" t="n"/>
    </row>
    <row r="43">
      <c r="B43" s="25" t="inlineStr">
        <is>
          <t>Gym / Fitness</t>
        </is>
      </c>
      <c r="C43" s="25" t="n"/>
      <c r="D43" s="26" t="n">
        <v>50</v>
      </c>
      <c r="E43" s="26" t="n"/>
    </row>
    <row r="44">
      <c r="B44" s="21" t="inlineStr">
        <is>
          <t>Subscriptions (Netflix, etc.)</t>
        </is>
      </c>
      <c r="C44" s="21" t="n"/>
      <c r="D44" s="22" t="n">
        <v>45</v>
      </c>
      <c r="E44" s="22" t="n"/>
    </row>
    <row r="45">
      <c r="B45" s="25" t="inlineStr">
        <is>
          <t>Clothing / Personal Care</t>
        </is>
      </c>
      <c r="C45" s="25" t="n"/>
      <c r="D45" s="26" t="n">
        <v>75</v>
      </c>
      <c r="E45" s="26" t="n"/>
    </row>
    <row r="46">
      <c r="B46" s="21" t="inlineStr">
        <is>
          <t>Entertainment</t>
        </is>
      </c>
      <c r="C46" s="21" t="n"/>
      <c r="D46" s="22" t="n">
        <v>50</v>
      </c>
      <c r="E46" s="22" t="n"/>
    </row>
    <row r="47">
      <c r="B47" s="30" t="inlineStr">
        <is>
          <t>TOTAL PERSONAL &amp; HEALTH</t>
        </is>
      </c>
      <c r="C47" s="31" t="n"/>
      <c r="D47" s="32">
        <f>SUM(D42:D46)</f>
        <v/>
      </c>
      <c r="E47" s="32">
        <f>SUM(E42:E46)</f>
        <v/>
      </c>
    </row>
    <row r="49">
      <c r="B49" s="41" t="inlineStr">
        <is>
          <t>📈 SAVINGS &amp; DEBT</t>
        </is>
      </c>
      <c r="C49" s="29" t="n"/>
      <c r="D49" s="42" t="inlineStr">
        <is>
          <t>Budgeted</t>
        </is>
      </c>
      <c r="E49" s="42" t="inlineStr">
        <is>
          <t>Actual</t>
        </is>
      </c>
    </row>
    <row r="50">
      <c r="B50" s="21" t="inlineStr">
        <is>
          <t>Emergency Fund</t>
        </is>
      </c>
      <c r="C50" s="21" t="n"/>
      <c r="D50" s="22" t="n">
        <v>200</v>
      </c>
      <c r="E50" s="22" t="n"/>
    </row>
    <row r="51">
      <c r="B51" s="25" t="inlineStr">
        <is>
          <t>Retirement (401k/IRA)</t>
        </is>
      </c>
      <c r="C51" s="25" t="n"/>
      <c r="D51" s="26" t="n">
        <v>300</v>
      </c>
      <c r="E51" s="26" t="n"/>
    </row>
    <row r="52">
      <c r="B52" s="21" t="inlineStr">
        <is>
          <t>Investments</t>
        </is>
      </c>
      <c r="C52" s="21" t="n"/>
      <c r="D52" s="22" t="n">
        <v>100</v>
      </c>
      <c r="E52" s="22" t="n"/>
    </row>
    <row r="53">
      <c r="B53" s="25" t="inlineStr">
        <is>
          <t>Other Savings Goals</t>
        </is>
      </c>
      <c r="C53" s="25" t="n"/>
      <c r="D53" s="26" t="n">
        <v>0</v>
      </c>
      <c r="E53" s="26" t="n"/>
    </row>
    <row r="54">
      <c r="B54" s="30" t="inlineStr">
        <is>
          <t>TOTAL SAVINGS &amp; DEBT</t>
        </is>
      </c>
      <c r="C54" s="31" t="n"/>
      <c r="D54" s="32">
        <f>SUM(D50:D53)</f>
        <v/>
      </c>
      <c r="E54" s="32">
        <f>SUM(E50:E53)</f>
        <v/>
      </c>
    </row>
  </sheetData>
  <mergeCells count="24">
    <mergeCell ref="B7:C7"/>
    <mergeCell ref="G36:H36"/>
    <mergeCell ref="G8:H8"/>
    <mergeCell ref="D6:E6"/>
    <mergeCell ref="G7:H7"/>
    <mergeCell ref="G38:H38"/>
    <mergeCell ref="G10:H10"/>
    <mergeCell ref="G37:H37"/>
    <mergeCell ref="B3:E3"/>
    <mergeCell ref="G6:H6"/>
    <mergeCell ref="B8:C8"/>
    <mergeCell ref="G34:H34"/>
    <mergeCell ref="D7:E7"/>
    <mergeCell ref="B19:C19"/>
    <mergeCell ref="B34:C34"/>
    <mergeCell ref="G33:H33"/>
    <mergeCell ref="B10:C10"/>
    <mergeCell ref="B2:E2"/>
    <mergeCell ref="B49:C49"/>
    <mergeCell ref="D8:E8"/>
    <mergeCell ref="G35:H35"/>
    <mergeCell ref="B6:C6"/>
    <mergeCell ref="B26:C26"/>
    <mergeCell ref="B41:C41"/>
  </mergeCells>
  <pageMargins left="0.75" right="0.75" top="1" bottom="1" header="0.5" footer="0.5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94560"/>
    <outlinePr summaryBelow="1" summaryRight="1"/>
    <pageSetUpPr/>
  </sheetPr>
  <dimension ref="A1:P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2" t="inlineStr">
        <is>
          <t>ANNUAL BUDGET OVERVIEW 2026</t>
        </is>
      </c>
      <c r="O2" s="1" t="n"/>
      <c r="P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B5" s="16" t="inlineStr">
        <is>
          <t>Category</t>
        </is>
      </c>
      <c r="C5" s="16" t="inlineStr">
        <is>
          <t>Jan</t>
        </is>
      </c>
      <c r="D5" s="16" t="inlineStr">
        <is>
          <t>Feb</t>
        </is>
      </c>
      <c r="E5" s="16" t="inlineStr">
        <is>
          <t>Mar</t>
        </is>
      </c>
      <c r="F5" s="16" t="inlineStr">
        <is>
          <t>Apr</t>
        </is>
      </c>
      <c r="G5" s="16" t="inlineStr">
        <is>
          <t>May</t>
        </is>
      </c>
      <c r="H5" s="16" t="inlineStr">
        <is>
          <t>Jun</t>
        </is>
      </c>
      <c r="I5" s="16" t="inlineStr">
        <is>
          <t>Jul</t>
        </is>
      </c>
      <c r="J5" s="16" t="inlineStr">
        <is>
          <t>Aug</t>
        </is>
      </c>
      <c r="K5" s="16" t="inlineStr">
        <is>
          <t>Sep</t>
        </is>
      </c>
      <c r="L5" s="16" t="inlineStr">
        <is>
          <t>Oct</t>
        </is>
      </c>
      <c r="M5" s="16" t="inlineStr">
        <is>
          <t>Nov</t>
        </is>
      </c>
      <c r="N5" s="16" t="inlineStr">
        <is>
          <t>Dec</t>
        </is>
      </c>
      <c r="O5" s="16" t="inlineStr">
        <is>
          <t>TOTAL</t>
        </is>
      </c>
    </row>
    <row r="6">
      <c r="B6" s="43" t="inlineStr">
        <is>
          <t>Total Income</t>
        </is>
      </c>
      <c r="C6" s="44" t="n"/>
      <c r="D6" s="44" t="n"/>
      <c r="E6" s="44" t="n"/>
      <c r="F6" s="44" t="n"/>
      <c r="G6" s="44" t="n"/>
      <c r="H6" s="44" t="n"/>
      <c r="I6" s="44" t="n"/>
      <c r="J6" s="44" t="n"/>
      <c r="K6" s="44" t="n"/>
      <c r="L6" s="44" t="n"/>
      <c r="M6" s="44" t="n"/>
      <c r="N6" s="44" t="n"/>
      <c r="O6" s="45">
        <f>SUM(C6:N6)</f>
        <v/>
      </c>
    </row>
    <row r="7">
      <c r="B7" s="46" t="inlineStr">
        <is>
          <t>Housing</t>
        </is>
      </c>
      <c r="C7" s="47" t="n"/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8">
        <f>SUM(C7:N7)</f>
        <v/>
      </c>
    </row>
    <row r="8">
      <c r="B8" s="49" t="inlineStr">
        <is>
          <t>Transportation</t>
        </is>
      </c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5">
        <f>SUM(C8:N8)</f>
        <v/>
      </c>
    </row>
    <row r="9">
      <c r="B9" s="50" t="inlineStr">
        <is>
          <t>Food &amp; Dining</t>
        </is>
      </c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8">
        <f>SUM(C9:N9)</f>
        <v/>
      </c>
    </row>
    <row r="10">
      <c r="B10" s="51" t="inlineStr">
        <is>
          <t>Personal &amp; Health</t>
        </is>
      </c>
      <c r="C10" s="44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4" t="n"/>
      <c r="N10" s="44" t="n"/>
      <c r="O10" s="45">
        <f>SUM(C10:N10)</f>
        <v/>
      </c>
    </row>
    <row r="11">
      <c r="B11" s="52" t="inlineStr">
        <is>
          <t>Savings &amp; Debt</t>
        </is>
      </c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8">
        <f>SUM(C11:N11)</f>
        <v/>
      </c>
    </row>
    <row r="12">
      <c r="B12" s="53" t="inlineStr">
        <is>
          <t>Total Expenses</t>
        </is>
      </c>
      <c r="C12" s="54">
        <f>SUM(C7:C11)</f>
        <v/>
      </c>
      <c r="D12" s="54">
        <f>SUM(D7:D11)</f>
        <v/>
      </c>
      <c r="E12" s="54">
        <f>SUM(E7:E11)</f>
        <v/>
      </c>
      <c r="F12" s="54">
        <f>SUM(F7:F11)</f>
        <v/>
      </c>
      <c r="G12" s="54">
        <f>SUM(G7:G11)</f>
        <v/>
      </c>
      <c r="H12" s="54">
        <f>SUM(H7:H11)</f>
        <v/>
      </c>
      <c r="I12" s="54">
        <f>SUM(I7:I11)</f>
        <v/>
      </c>
      <c r="J12" s="54">
        <f>SUM(J7:J11)</f>
        <v/>
      </c>
      <c r="K12" s="54">
        <f>SUM(K7:K11)</f>
        <v/>
      </c>
      <c r="L12" s="54">
        <f>SUM(L7:L11)</f>
        <v/>
      </c>
      <c r="M12" s="54">
        <f>SUM(M7:M11)</f>
        <v/>
      </c>
      <c r="N12" s="54">
        <f>SUM(N7:N11)</f>
        <v/>
      </c>
      <c r="O12" s="54">
        <f>SUM(O7:O11)</f>
        <v/>
      </c>
    </row>
    <row r="13">
      <c r="B13" s="55" t="inlineStr">
        <is>
          <t>Net Balance</t>
        </is>
      </c>
      <c r="C13" s="56">
        <f>C6-C12</f>
        <v/>
      </c>
      <c r="D13" s="56">
        <f>D6-D12</f>
        <v/>
      </c>
      <c r="E13" s="56">
        <f>E6-E12</f>
        <v/>
      </c>
      <c r="F13" s="56">
        <f>F6-F12</f>
        <v/>
      </c>
      <c r="G13" s="56">
        <f>G6-G12</f>
        <v/>
      </c>
      <c r="H13" s="56">
        <f>H6-H12</f>
        <v/>
      </c>
      <c r="I13" s="56">
        <f>I6-I12</f>
        <v/>
      </c>
      <c r="J13" s="56">
        <f>J6-J12</f>
        <v/>
      </c>
      <c r="K13" s="56">
        <f>K6-K12</f>
        <v/>
      </c>
      <c r="L13" s="56">
        <f>L6-L12</f>
        <v/>
      </c>
      <c r="M13" s="56">
        <f>M6-M12</f>
        <v/>
      </c>
      <c r="N13" s="56">
        <f>N6-N12</f>
        <v/>
      </c>
      <c r="O13" s="56">
        <f>O6-O12</f>
        <v/>
      </c>
    </row>
  </sheetData>
  <mergeCells count="1">
    <mergeCell ref="B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2026-04-26T03:46:14Z</dcterms:created>
  <dcterms:modified xmlns:dcterms="http://purl.org/dc/terms/" xmlns:xsi="http://www.w3.org/2001/XMLSchema-instance" xsi:type="dcterms:W3CDTF">2026-04-26T03:46:14Z</dcterms:modified>
</cp:coreProperties>
</file>