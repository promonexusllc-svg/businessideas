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Calculator" sheetId="1" state="visible" r:id="rId1"/>
    <sheet xmlns:r="http://schemas.openxmlformats.org/officeDocument/2006/relationships" name="Platform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10B981"/>
      <sz val="10"/>
    </font>
    <font>
      <name val="Calibri"/>
      <b val="1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8B5CF6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pivotButton="0" quotePrefix="0" xfId="0"/>
    <xf numFmtId="0" fontId="5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E-COMMERCE TRUE PROFIT CALCULATOR</t>
        </is>
      </c>
      <c r="M2" s="1" t="n"/>
    </row>
    <row r="3">
      <c r="A3" s="1" t="n"/>
      <c r="B3" s="3" t="inlineStr">
        <is>
          <t>Etsy • Amazon • Shopify • eBay — See your REAL margins after ALL fees</t>
        </is>
      </c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6">
      <c r="B6" s="4" t="inlineStr">
        <is>
          <t>💡 Enter your products below — formulas auto-calculate TRUE profit after platform fees, shipping, and COGS</t>
        </is>
      </c>
    </row>
    <row r="8">
      <c r="B8" s="5" t="inlineStr">
        <is>
          <t>Product</t>
        </is>
      </c>
      <c r="C8" s="5" t="inlineStr">
        <is>
          <t>Platform</t>
        </is>
      </c>
      <c r="D8" s="5" t="inlineStr">
        <is>
          <t>Sale Price</t>
        </is>
      </c>
      <c r="E8" s="5" t="inlineStr">
        <is>
          <t>COGS</t>
        </is>
      </c>
      <c r="F8" s="5" t="inlineStr">
        <is>
          <t>Shipping Cost</t>
        </is>
      </c>
      <c r="G8" s="5" t="inlineStr">
        <is>
          <t>Platform Fee %</t>
        </is>
      </c>
      <c r="H8" s="5" t="inlineStr">
        <is>
          <t>Payment Fee %</t>
        </is>
      </c>
      <c r="I8" s="5" t="inlineStr">
        <is>
          <t>Listing Fee</t>
        </is>
      </c>
      <c r="J8" s="5" t="inlineStr">
        <is>
          <t>Total Fees</t>
        </is>
      </c>
      <c r="K8" s="5" t="inlineStr">
        <is>
          <t>TRUE Profit</t>
        </is>
      </c>
      <c r="L8" s="5" t="inlineStr">
        <is>
          <t>Margin %</t>
        </is>
      </c>
    </row>
    <row r="9">
      <c r="B9" s="6" t="n"/>
      <c r="C9" s="6" t="n"/>
      <c r="D9" s="7" t="n"/>
      <c r="E9" s="7" t="n"/>
      <c r="F9" s="7" t="n"/>
      <c r="G9" s="8">
        <f>IF(C9="Etsy",6.5,IF(C9="Amazon FBA",15,IF(C9="Amazon FBM",15,IF(C9="Shopify",0,IF(C9="eBay",12.9,IF(C9="Gumroad",10,0))))))</f>
        <v/>
      </c>
      <c r="H9" s="8">
        <f>IF(C9="Etsy",3,IF(C9="Shopify",2.9,IF(C9="Gumroad",0,3)))</f>
        <v/>
      </c>
      <c r="I9" s="7">
        <f>IF(C9="Etsy",0.2,0)</f>
        <v/>
      </c>
      <c r="J9" s="7">
        <f>IF(D9="","",(D9*G9/100)+(D9*H9/100)+I9)</f>
        <v/>
      </c>
      <c r="K9" s="9">
        <f>IF(D9="","",D9-E9-F9-J9)</f>
        <v/>
      </c>
      <c r="L9" s="10">
        <f>IF(D9=0,"",K9/D9)</f>
        <v/>
      </c>
    </row>
    <row r="10">
      <c r="B10" s="11" t="n"/>
      <c r="C10" s="11" t="n"/>
      <c r="D10" s="12" t="n"/>
      <c r="E10" s="12" t="n"/>
      <c r="F10" s="12" t="n"/>
      <c r="G10" s="13">
        <f>IF(C10="Etsy",6.5,IF(C10="Amazon FBA",15,IF(C10="Amazon FBM",15,IF(C10="Shopify",0,IF(C10="eBay",12.9,IF(C10="Gumroad",10,0))))))</f>
        <v/>
      </c>
      <c r="H10" s="13">
        <f>IF(C10="Etsy",3,IF(C10="Shopify",2.9,IF(C10="Gumroad",0,3)))</f>
        <v/>
      </c>
      <c r="I10" s="12">
        <f>IF(C10="Etsy",0.2,0)</f>
        <v/>
      </c>
      <c r="J10" s="12">
        <f>IF(D10="","",(D10*G10/100)+(D10*H10/100)+I10)</f>
        <v/>
      </c>
      <c r="K10" s="14">
        <f>IF(D10="","",D10-E10-F10-J10)</f>
        <v/>
      </c>
      <c r="L10" s="15">
        <f>IF(D10=0,"",K10/D10)</f>
        <v/>
      </c>
    </row>
    <row r="11">
      <c r="B11" s="6" t="n"/>
      <c r="C11" s="6" t="n"/>
      <c r="D11" s="7" t="n"/>
      <c r="E11" s="7" t="n"/>
      <c r="F11" s="7" t="n"/>
      <c r="G11" s="8">
        <f>IF(C11="Etsy",6.5,IF(C11="Amazon FBA",15,IF(C11="Amazon FBM",15,IF(C11="Shopify",0,IF(C11="eBay",12.9,IF(C11="Gumroad",10,0))))))</f>
        <v/>
      </c>
      <c r="H11" s="8">
        <f>IF(C11="Etsy",3,IF(C11="Shopify",2.9,IF(C11="Gumroad",0,3)))</f>
        <v/>
      </c>
      <c r="I11" s="7">
        <f>IF(C11="Etsy",0.2,0)</f>
        <v/>
      </c>
      <c r="J11" s="7">
        <f>IF(D11="","",(D11*G11/100)+(D11*H11/100)+I11)</f>
        <v/>
      </c>
      <c r="K11" s="9">
        <f>IF(D11="","",D11-E11-F11-J11)</f>
        <v/>
      </c>
      <c r="L11" s="10">
        <f>IF(D11=0,"",K11/D11)</f>
        <v/>
      </c>
    </row>
    <row r="12">
      <c r="B12" s="11" t="n"/>
      <c r="C12" s="11" t="n"/>
      <c r="D12" s="12" t="n"/>
      <c r="E12" s="12" t="n"/>
      <c r="F12" s="12" t="n"/>
      <c r="G12" s="13">
        <f>IF(C12="Etsy",6.5,IF(C12="Amazon FBA",15,IF(C12="Amazon FBM",15,IF(C12="Shopify",0,IF(C12="eBay",12.9,IF(C12="Gumroad",10,0))))))</f>
        <v/>
      </c>
      <c r="H12" s="13">
        <f>IF(C12="Etsy",3,IF(C12="Shopify",2.9,IF(C12="Gumroad",0,3)))</f>
        <v/>
      </c>
      <c r="I12" s="12">
        <f>IF(C12="Etsy",0.2,0)</f>
        <v/>
      </c>
      <c r="J12" s="12">
        <f>IF(D12="","",(D12*G12/100)+(D12*H12/100)+I12)</f>
        <v/>
      </c>
      <c r="K12" s="14">
        <f>IF(D12="","",D12-E12-F12-J12)</f>
        <v/>
      </c>
      <c r="L12" s="15">
        <f>IF(D12=0,"",K12/D12)</f>
        <v/>
      </c>
    </row>
    <row r="13">
      <c r="B13" s="6" t="n"/>
      <c r="C13" s="6" t="n"/>
      <c r="D13" s="7" t="n"/>
      <c r="E13" s="7" t="n"/>
      <c r="F13" s="7" t="n"/>
      <c r="G13" s="8">
        <f>IF(C13="Etsy",6.5,IF(C13="Amazon FBA",15,IF(C13="Amazon FBM",15,IF(C13="Shopify",0,IF(C13="eBay",12.9,IF(C13="Gumroad",10,0))))))</f>
        <v/>
      </c>
      <c r="H13" s="8">
        <f>IF(C13="Etsy",3,IF(C13="Shopify",2.9,IF(C13="Gumroad",0,3)))</f>
        <v/>
      </c>
      <c r="I13" s="7">
        <f>IF(C13="Etsy",0.2,0)</f>
        <v/>
      </c>
      <c r="J13" s="7">
        <f>IF(D13="","",(D13*G13/100)+(D13*H13/100)+I13)</f>
        <v/>
      </c>
      <c r="K13" s="9">
        <f>IF(D13="","",D13-E13-F13-J13)</f>
        <v/>
      </c>
      <c r="L13" s="10">
        <f>IF(D13=0,"",K13/D13)</f>
        <v/>
      </c>
    </row>
    <row r="14">
      <c r="B14" s="11" t="n"/>
      <c r="C14" s="11" t="n"/>
      <c r="D14" s="12" t="n"/>
      <c r="E14" s="12" t="n"/>
      <c r="F14" s="12" t="n"/>
      <c r="G14" s="13">
        <f>IF(C14="Etsy",6.5,IF(C14="Amazon FBA",15,IF(C14="Amazon FBM",15,IF(C14="Shopify",0,IF(C14="eBay",12.9,IF(C14="Gumroad",10,0))))))</f>
        <v/>
      </c>
      <c r="H14" s="13">
        <f>IF(C14="Etsy",3,IF(C14="Shopify",2.9,IF(C14="Gumroad",0,3)))</f>
        <v/>
      </c>
      <c r="I14" s="12">
        <f>IF(C14="Etsy",0.2,0)</f>
        <v/>
      </c>
      <c r="J14" s="12">
        <f>IF(D14="","",(D14*G14/100)+(D14*H14/100)+I14)</f>
        <v/>
      </c>
      <c r="K14" s="14">
        <f>IF(D14="","",D14-E14-F14-J14)</f>
        <v/>
      </c>
      <c r="L14" s="15">
        <f>IF(D14=0,"",K14/D14)</f>
        <v/>
      </c>
    </row>
    <row r="15">
      <c r="B15" s="6" t="n"/>
      <c r="C15" s="6" t="n"/>
      <c r="D15" s="7" t="n"/>
      <c r="E15" s="7" t="n"/>
      <c r="F15" s="7" t="n"/>
      <c r="G15" s="8">
        <f>IF(C15="Etsy",6.5,IF(C15="Amazon FBA",15,IF(C15="Amazon FBM",15,IF(C15="Shopify",0,IF(C15="eBay",12.9,IF(C15="Gumroad",10,0))))))</f>
        <v/>
      </c>
      <c r="H15" s="8">
        <f>IF(C15="Etsy",3,IF(C15="Shopify",2.9,IF(C15="Gumroad",0,3)))</f>
        <v/>
      </c>
      <c r="I15" s="7">
        <f>IF(C15="Etsy",0.2,0)</f>
        <v/>
      </c>
      <c r="J15" s="7">
        <f>IF(D15="","",(D15*G15/100)+(D15*H15/100)+I15)</f>
        <v/>
      </c>
      <c r="K15" s="9">
        <f>IF(D15="","",D15-E15-F15-J15)</f>
        <v/>
      </c>
      <c r="L15" s="10">
        <f>IF(D15=0,"",K15/D15)</f>
        <v/>
      </c>
    </row>
    <row r="16">
      <c r="B16" s="11" t="n"/>
      <c r="C16" s="11" t="n"/>
      <c r="D16" s="12" t="n"/>
      <c r="E16" s="12" t="n"/>
      <c r="F16" s="12" t="n"/>
      <c r="G16" s="13">
        <f>IF(C16="Etsy",6.5,IF(C16="Amazon FBA",15,IF(C16="Amazon FBM",15,IF(C16="Shopify",0,IF(C16="eBay",12.9,IF(C16="Gumroad",10,0))))))</f>
        <v/>
      </c>
      <c r="H16" s="13">
        <f>IF(C16="Etsy",3,IF(C16="Shopify",2.9,IF(C16="Gumroad",0,3)))</f>
        <v/>
      </c>
      <c r="I16" s="12">
        <f>IF(C16="Etsy",0.2,0)</f>
        <v/>
      </c>
      <c r="J16" s="12">
        <f>IF(D16="","",(D16*G16/100)+(D16*H16/100)+I16)</f>
        <v/>
      </c>
      <c r="K16" s="14">
        <f>IF(D16="","",D16-E16-F16-J16)</f>
        <v/>
      </c>
      <c r="L16" s="15">
        <f>IF(D16=0,"",K16/D16)</f>
        <v/>
      </c>
    </row>
    <row r="17">
      <c r="B17" s="6" t="n"/>
      <c r="C17" s="6" t="n"/>
      <c r="D17" s="7" t="n"/>
      <c r="E17" s="7" t="n"/>
      <c r="F17" s="7" t="n"/>
      <c r="G17" s="8">
        <f>IF(C17="Etsy",6.5,IF(C17="Amazon FBA",15,IF(C17="Amazon FBM",15,IF(C17="Shopify",0,IF(C17="eBay",12.9,IF(C17="Gumroad",10,0))))))</f>
        <v/>
      </c>
      <c r="H17" s="8">
        <f>IF(C17="Etsy",3,IF(C17="Shopify",2.9,IF(C17="Gumroad",0,3)))</f>
        <v/>
      </c>
      <c r="I17" s="7">
        <f>IF(C17="Etsy",0.2,0)</f>
        <v/>
      </c>
      <c r="J17" s="7">
        <f>IF(D17="","",(D17*G17/100)+(D17*H17/100)+I17)</f>
        <v/>
      </c>
      <c r="K17" s="9">
        <f>IF(D17="","",D17-E17-F17-J17)</f>
        <v/>
      </c>
      <c r="L17" s="10">
        <f>IF(D17=0,"",K17/D17)</f>
        <v/>
      </c>
    </row>
    <row r="18">
      <c r="B18" s="11" t="n"/>
      <c r="C18" s="11" t="n"/>
      <c r="D18" s="12" t="n"/>
      <c r="E18" s="12" t="n"/>
      <c r="F18" s="12" t="n"/>
      <c r="G18" s="13">
        <f>IF(C18="Etsy",6.5,IF(C18="Amazon FBA",15,IF(C18="Amazon FBM",15,IF(C18="Shopify",0,IF(C18="eBay",12.9,IF(C18="Gumroad",10,0))))))</f>
        <v/>
      </c>
      <c r="H18" s="13">
        <f>IF(C18="Etsy",3,IF(C18="Shopify",2.9,IF(C18="Gumroad",0,3)))</f>
        <v/>
      </c>
      <c r="I18" s="12">
        <f>IF(C18="Etsy",0.2,0)</f>
        <v/>
      </c>
      <c r="J18" s="12">
        <f>IF(D18="","",(D18*G18/100)+(D18*H18/100)+I18)</f>
        <v/>
      </c>
      <c r="K18" s="14">
        <f>IF(D18="","",D18-E18-F18-J18)</f>
        <v/>
      </c>
      <c r="L18" s="15">
        <f>IF(D18=0,"",K18/D18)</f>
        <v/>
      </c>
    </row>
    <row r="19">
      <c r="B19" s="6" t="n"/>
      <c r="C19" s="6" t="n"/>
      <c r="D19" s="7" t="n"/>
      <c r="E19" s="7" t="n"/>
      <c r="F19" s="7" t="n"/>
      <c r="G19" s="8">
        <f>IF(C19="Etsy",6.5,IF(C19="Amazon FBA",15,IF(C19="Amazon FBM",15,IF(C19="Shopify",0,IF(C19="eBay",12.9,IF(C19="Gumroad",10,0))))))</f>
        <v/>
      </c>
      <c r="H19" s="8">
        <f>IF(C19="Etsy",3,IF(C19="Shopify",2.9,IF(C19="Gumroad",0,3)))</f>
        <v/>
      </c>
      <c r="I19" s="7">
        <f>IF(C19="Etsy",0.2,0)</f>
        <v/>
      </c>
      <c r="J19" s="7">
        <f>IF(D19="","",(D19*G19/100)+(D19*H19/100)+I19)</f>
        <v/>
      </c>
      <c r="K19" s="9">
        <f>IF(D19="","",D19-E19-F19-J19)</f>
        <v/>
      </c>
      <c r="L19" s="10">
        <f>IF(D19=0,"",K19/D19)</f>
        <v/>
      </c>
    </row>
    <row r="20">
      <c r="B20" s="11" t="n"/>
      <c r="C20" s="11" t="n"/>
      <c r="D20" s="12" t="n"/>
      <c r="E20" s="12" t="n"/>
      <c r="F20" s="12" t="n"/>
      <c r="G20" s="13">
        <f>IF(C20="Etsy",6.5,IF(C20="Amazon FBA",15,IF(C20="Amazon FBM",15,IF(C20="Shopify",0,IF(C20="eBay",12.9,IF(C20="Gumroad",10,0))))))</f>
        <v/>
      </c>
      <c r="H20" s="13">
        <f>IF(C20="Etsy",3,IF(C20="Shopify",2.9,IF(C20="Gumroad",0,3)))</f>
        <v/>
      </c>
      <c r="I20" s="12">
        <f>IF(C20="Etsy",0.2,0)</f>
        <v/>
      </c>
      <c r="J20" s="12">
        <f>IF(D20="","",(D20*G20/100)+(D20*H20/100)+I20)</f>
        <v/>
      </c>
      <c r="K20" s="14">
        <f>IF(D20="","",D20-E20-F20-J20)</f>
        <v/>
      </c>
      <c r="L20" s="15">
        <f>IF(D20=0,"",K20/D20)</f>
        <v/>
      </c>
    </row>
    <row r="21">
      <c r="B21" s="6" t="n"/>
      <c r="C21" s="6" t="n"/>
      <c r="D21" s="7" t="n"/>
      <c r="E21" s="7" t="n"/>
      <c r="F21" s="7" t="n"/>
      <c r="G21" s="8">
        <f>IF(C21="Etsy",6.5,IF(C21="Amazon FBA",15,IF(C21="Amazon FBM",15,IF(C21="Shopify",0,IF(C21="eBay",12.9,IF(C21="Gumroad",10,0))))))</f>
        <v/>
      </c>
      <c r="H21" s="8">
        <f>IF(C21="Etsy",3,IF(C21="Shopify",2.9,IF(C21="Gumroad",0,3)))</f>
        <v/>
      </c>
      <c r="I21" s="7">
        <f>IF(C21="Etsy",0.2,0)</f>
        <v/>
      </c>
      <c r="J21" s="7">
        <f>IF(D21="","",(D21*G21/100)+(D21*H21/100)+I21)</f>
        <v/>
      </c>
      <c r="K21" s="9">
        <f>IF(D21="","",D21-E21-F21-J21)</f>
        <v/>
      </c>
      <c r="L21" s="10">
        <f>IF(D21=0,"",K21/D21)</f>
        <v/>
      </c>
    </row>
    <row r="22">
      <c r="B22" s="11" t="n"/>
      <c r="C22" s="11" t="n"/>
      <c r="D22" s="12" t="n"/>
      <c r="E22" s="12" t="n"/>
      <c r="F22" s="12" t="n"/>
      <c r="G22" s="13">
        <f>IF(C22="Etsy",6.5,IF(C22="Amazon FBA",15,IF(C22="Amazon FBM",15,IF(C22="Shopify",0,IF(C22="eBay",12.9,IF(C22="Gumroad",10,0))))))</f>
        <v/>
      </c>
      <c r="H22" s="13">
        <f>IF(C22="Etsy",3,IF(C22="Shopify",2.9,IF(C22="Gumroad",0,3)))</f>
        <v/>
      </c>
      <c r="I22" s="12">
        <f>IF(C22="Etsy",0.2,0)</f>
        <v/>
      </c>
      <c r="J22" s="12">
        <f>IF(D22="","",(D22*G22/100)+(D22*H22/100)+I22)</f>
        <v/>
      </c>
      <c r="K22" s="14">
        <f>IF(D22="","",D22-E22-F22-J22)</f>
        <v/>
      </c>
      <c r="L22" s="15">
        <f>IF(D22=0,"",K22/D22)</f>
        <v/>
      </c>
    </row>
    <row r="23">
      <c r="B23" s="6" t="n"/>
      <c r="C23" s="6" t="n"/>
      <c r="D23" s="7" t="n"/>
      <c r="E23" s="7" t="n"/>
      <c r="F23" s="7" t="n"/>
      <c r="G23" s="8">
        <f>IF(C23="Etsy",6.5,IF(C23="Amazon FBA",15,IF(C23="Amazon FBM",15,IF(C23="Shopify",0,IF(C23="eBay",12.9,IF(C23="Gumroad",10,0))))))</f>
        <v/>
      </c>
      <c r="H23" s="8">
        <f>IF(C23="Etsy",3,IF(C23="Shopify",2.9,IF(C23="Gumroad",0,3)))</f>
        <v/>
      </c>
      <c r="I23" s="7">
        <f>IF(C23="Etsy",0.2,0)</f>
        <v/>
      </c>
      <c r="J23" s="7">
        <f>IF(D23="","",(D23*G23/100)+(D23*H23/100)+I23)</f>
        <v/>
      </c>
      <c r="K23" s="9">
        <f>IF(D23="","",D23-E23-F23-J23)</f>
        <v/>
      </c>
      <c r="L23" s="10">
        <f>IF(D23=0,"",K23/D23)</f>
        <v/>
      </c>
    </row>
    <row r="24">
      <c r="B24" s="11" t="n"/>
      <c r="C24" s="11" t="n"/>
      <c r="D24" s="12" t="n"/>
      <c r="E24" s="12" t="n"/>
      <c r="F24" s="12" t="n"/>
      <c r="G24" s="13">
        <f>IF(C24="Etsy",6.5,IF(C24="Amazon FBA",15,IF(C24="Amazon FBM",15,IF(C24="Shopify",0,IF(C24="eBay",12.9,IF(C24="Gumroad",10,0))))))</f>
        <v/>
      </c>
      <c r="H24" s="13">
        <f>IF(C24="Etsy",3,IF(C24="Shopify",2.9,IF(C24="Gumroad",0,3)))</f>
        <v/>
      </c>
      <c r="I24" s="12">
        <f>IF(C24="Etsy",0.2,0)</f>
        <v/>
      </c>
      <c r="J24" s="12">
        <f>IF(D24="","",(D24*G24/100)+(D24*H24/100)+I24)</f>
        <v/>
      </c>
      <c r="K24" s="14">
        <f>IF(D24="","",D24-E24-F24-J24)</f>
        <v/>
      </c>
      <c r="L24" s="15">
        <f>IF(D24=0,"",K24/D24)</f>
        <v/>
      </c>
    </row>
    <row r="25">
      <c r="B25" s="6" t="n"/>
      <c r="C25" s="6" t="n"/>
      <c r="D25" s="7" t="n"/>
      <c r="E25" s="7" t="n"/>
      <c r="F25" s="7" t="n"/>
      <c r="G25" s="8">
        <f>IF(C25="Etsy",6.5,IF(C25="Amazon FBA",15,IF(C25="Amazon FBM",15,IF(C25="Shopify",0,IF(C25="eBay",12.9,IF(C25="Gumroad",10,0))))))</f>
        <v/>
      </c>
      <c r="H25" s="8">
        <f>IF(C25="Etsy",3,IF(C25="Shopify",2.9,IF(C25="Gumroad",0,3)))</f>
        <v/>
      </c>
      <c r="I25" s="7">
        <f>IF(C25="Etsy",0.2,0)</f>
        <v/>
      </c>
      <c r="J25" s="7">
        <f>IF(D25="","",(D25*G25/100)+(D25*H25/100)+I25)</f>
        <v/>
      </c>
      <c r="K25" s="9">
        <f>IF(D25="","",D25-E25-F25-J25)</f>
        <v/>
      </c>
      <c r="L25" s="10">
        <f>IF(D25=0,"",K25/D25)</f>
        <v/>
      </c>
    </row>
    <row r="26">
      <c r="B26" s="11" t="n"/>
      <c r="C26" s="11" t="n"/>
      <c r="D26" s="12" t="n"/>
      <c r="E26" s="12" t="n"/>
      <c r="F26" s="12" t="n"/>
      <c r="G26" s="13">
        <f>IF(C26="Etsy",6.5,IF(C26="Amazon FBA",15,IF(C26="Amazon FBM",15,IF(C26="Shopify",0,IF(C26="eBay",12.9,IF(C26="Gumroad",10,0))))))</f>
        <v/>
      </c>
      <c r="H26" s="13">
        <f>IF(C26="Etsy",3,IF(C26="Shopify",2.9,IF(C26="Gumroad",0,3)))</f>
        <v/>
      </c>
      <c r="I26" s="12">
        <f>IF(C26="Etsy",0.2,0)</f>
        <v/>
      </c>
      <c r="J26" s="12">
        <f>IF(D26="","",(D26*G26/100)+(D26*H26/100)+I26)</f>
        <v/>
      </c>
      <c r="K26" s="14">
        <f>IF(D26="","",D26-E26-F26-J26)</f>
        <v/>
      </c>
      <c r="L26" s="15">
        <f>IF(D26=0,"",K26/D26)</f>
        <v/>
      </c>
    </row>
    <row r="27">
      <c r="B27" s="6" t="n"/>
      <c r="C27" s="6" t="n"/>
      <c r="D27" s="7" t="n"/>
      <c r="E27" s="7" t="n"/>
      <c r="F27" s="7" t="n"/>
      <c r="G27" s="8">
        <f>IF(C27="Etsy",6.5,IF(C27="Amazon FBA",15,IF(C27="Amazon FBM",15,IF(C27="Shopify",0,IF(C27="eBay",12.9,IF(C27="Gumroad",10,0))))))</f>
        <v/>
      </c>
      <c r="H27" s="8">
        <f>IF(C27="Etsy",3,IF(C27="Shopify",2.9,IF(C27="Gumroad",0,3)))</f>
        <v/>
      </c>
      <c r="I27" s="7">
        <f>IF(C27="Etsy",0.2,0)</f>
        <v/>
      </c>
      <c r="J27" s="7">
        <f>IF(D27="","",(D27*G27/100)+(D27*H27/100)+I27)</f>
        <v/>
      </c>
      <c r="K27" s="9">
        <f>IF(D27="","",D27-E27-F27-J27)</f>
        <v/>
      </c>
      <c r="L27" s="10">
        <f>IF(D27=0,"",K27/D27)</f>
        <v/>
      </c>
    </row>
    <row r="28">
      <c r="B28" s="11" t="n"/>
      <c r="C28" s="11" t="n"/>
      <c r="D28" s="12" t="n"/>
      <c r="E28" s="12" t="n"/>
      <c r="F28" s="12" t="n"/>
      <c r="G28" s="13">
        <f>IF(C28="Etsy",6.5,IF(C28="Amazon FBA",15,IF(C28="Amazon FBM",15,IF(C28="Shopify",0,IF(C28="eBay",12.9,IF(C28="Gumroad",10,0))))))</f>
        <v/>
      </c>
      <c r="H28" s="13">
        <f>IF(C28="Etsy",3,IF(C28="Shopify",2.9,IF(C28="Gumroad",0,3)))</f>
        <v/>
      </c>
      <c r="I28" s="12">
        <f>IF(C28="Etsy",0.2,0)</f>
        <v/>
      </c>
      <c r="J28" s="12">
        <f>IF(D28="","",(D28*G28/100)+(D28*H28/100)+I28)</f>
        <v/>
      </c>
      <c r="K28" s="14">
        <f>IF(D28="","",D28-E28-F28-J28)</f>
        <v/>
      </c>
      <c r="L28" s="15">
        <f>IF(D28=0,"",K28/D28)</f>
        <v/>
      </c>
    </row>
    <row r="29">
      <c r="B29" s="6" t="n"/>
      <c r="C29" s="6" t="n"/>
      <c r="D29" s="7" t="n"/>
      <c r="E29" s="7" t="n"/>
      <c r="F29" s="7" t="n"/>
      <c r="G29" s="8">
        <f>IF(C29="Etsy",6.5,IF(C29="Amazon FBA",15,IF(C29="Amazon FBM",15,IF(C29="Shopify",0,IF(C29="eBay",12.9,IF(C29="Gumroad",10,0))))))</f>
        <v/>
      </c>
      <c r="H29" s="8">
        <f>IF(C29="Etsy",3,IF(C29="Shopify",2.9,IF(C29="Gumroad",0,3)))</f>
        <v/>
      </c>
      <c r="I29" s="7">
        <f>IF(C29="Etsy",0.2,0)</f>
        <v/>
      </c>
      <c r="J29" s="7">
        <f>IF(D29="","",(D29*G29/100)+(D29*H29/100)+I29)</f>
        <v/>
      </c>
      <c r="K29" s="9">
        <f>IF(D29="","",D29-E29-F29-J29)</f>
        <v/>
      </c>
      <c r="L29" s="10">
        <f>IF(D29=0,"",K29/D29)</f>
        <v/>
      </c>
    </row>
    <row r="30">
      <c r="B30" s="11" t="n"/>
      <c r="C30" s="11" t="n"/>
      <c r="D30" s="12" t="n"/>
      <c r="E30" s="12" t="n"/>
      <c r="F30" s="12" t="n"/>
      <c r="G30" s="13">
        <f>IF(C30="Etsy",6.5,IF(C30="Amazon FBA",15,IF(C30="Amazon FBM",15,IF(C30="Shopify",0,IF(C30="eBay",12.9,IF(C30="Gumroad",10,0))))))</f>
        <v/>
      </c>
      <c r="H30" s="13">
        <f>IF(C30="Etsy",3,IF(C30="Shopify",2.9,IF(C30="Gumroad",0,3)))</f>
        <v/>
      </c>
      <c r="I30" s="12">
        <f>IF(C30="Etsy",0.2,0)</f>
        <v/>
      </c>
      <c r="J30" s="12">
        <f>IF(D30="","",(D30*G30/100)+(D30*H30/100)+I30)</f>
        <v/>
      </c>
      <c r="K30" s="14">
        <f>IF(D30="","",D30-E30-F30-J30)</f>
        <v/>
      </c>
      <c r="L30" s="15">
        <f>IF(D30=0,"",K30/D30)</f>
        <v/>
      </c>
    </row>
    <row r="31">
      <c r="B31" s="6" t="n"/>
      <c r="C31" s="6" t="n"/>
      <c r="D31" s="7" t="n"/>
      <c r="E31" s="7" t="n"/>
      <c r="F31" s="7" t="n"/>
      <c r="G31" s="8">
        <f>IF(C31="Etsy",6.5,IF(C31="Amazon FBA",15,IF(C31="Amazon FBM",15,IF(C31="Shopify",0,IF(C31="eBay",12.9,IF(C31="Gumroad",10,0))))))</f>
        <v/>
      </c>
      <c r="H31" s="8">
        <f>IF(C31="Etsy",3,IF(C31="Shopify",2.9,IF(C31="Gumroad",0,3)))</f>
        <v/>
      </c>
      <c r="I31" s="7">
        <f>IF(C31="Etsy",0.2,0)</f>
        <v/>
      </c>
      <c r="J31" s="7">
        <f>IF(D31="","",(D31*G31/100)+(D31*H31/100)+I31)</f>
        <v/>
      </c>
      <c r="K31" s="9">
        <f>IF(D31="","",D31-E31-F31-J31)</f>
        <v/>
      </c>
      <c r="L31" s="10">
        <f>IF(D31=0,"",K31/D31)</f>
        <v/>
      </c>
    </row>
    <row r="32">
      <c r="B32" s="11" t="n"/>
      <c r="C32" s="11" t="n"/>
      <c r="D32" s="12" t="n"/>
      <c r="E32" s="12" t="n"/>
      <c r="F32" s="12" t="n"/>
      <c r="G32" s="13">
        <f>IF(C32="Etsy",6.5,IF(C32="Amazon FBA",15,IF(C32="Amazon FBM",15,IF(C32="Shopify",0,IF(C32="eBay",12.9,IF(C32="Gumroad",10,0))))))</f>
        <v/>
      </c>
      <c r="H32" s="13">
        <f>IF(C32="Etsy",3,IF(C32="Shopify",2.9,IF(C32="Gumroad",0,3)))</f>
        <v/>
      </c>
      <c r="I32" s="12">
        <f>IF(C32="Etsy",0.2,0)</f>
        <v/>
      </c>
      <c r="J32" s="12">
        <f>IF(D32="","",(D32*G32/100)+(D32*H32/100)+I32)</f>
        <v/>
      </c>
      <c r="K32" s="14">
        <f>IF(D32="","",D32-E32-F32-J32)</f>
        <v/>
      </c>
      <c r="L32" s="15">
        <f>IF(D32=0,"",K32/D32)</f>
        <v/>
      </c>
    </row>
    <row r="33">
      <c r="B33" s="6" t="n"/>
      <c r="C33" s="6" t="n"/>
      <c r="D33" s="7" t="n"/>
      <c r="E33" s="7" t="n"/>
      <c r="F33" s="7" t="n"/>
      <c r="G33" s="8">
        <f>IF(C33="Etsy",6.5,IF(C33="Amazon FBA",15,IF(C33="Amazon FBM",15,IF(C33="Shopify",0,IF(C33="eBay",12.9,IF(C33="Gumroad",10,0))))))</f>
        <v/>
      </c>
      <c r="H33" s="8">
        <f>IF(C33="Etsy",3,IF(C33="Shopify",2.9,IF(C33="Gumroad",0,3)))</f>
        <v/>
      </c>
      <c r="I33" s="7">
        <f>IF(C33="Etsy",0.2,0)</f>
        <v/>
      </c>
      <c r="J33" s="7">
        <f>IF(D33="","",(D33*G33/100)+(D33*H33/100)+I33)</f>
        <v/>
      </c>
      <c r="K33" s="9">
        <f>IF(D33="","",D33-E33-F33-J33)</f>
        <v/>
      </c>
      <c r="L33" s="10">
        <f>IF(D33=0,"",K33/D33)</f>
        <v/>
      </c>
    </row>
  </sheetData>
  <mergeCells count="3">
    <mergeCell ref="B2:L2"/>
    <mergeCell ref="B6:L6"/>
    <mergeCell ref="B3:L3"/>
  </mergeCells>
  <dataValidations count="1">
    <dataValidation sqref="C9 C10 C11 C12 C13 C14 C15 C16 C17 C18 C19 C20 C21 C22 C23 C24 C25 C26 C27 C28 C29 C30 C31 C32 C33" showDropDown="0" showInputMessage="0" showErrorMessage="0" allowBlank="0" type="list">
      <formula1>"Etsy,Amazon FBA,Amazon FBM,Shopify,eBay,Gumroad,WooCommerce,Direct"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C4899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PLATFORM FEE COMPARISON</t>
        </is>
      </c>
      <c r="J2" s="1" t="n"/>
    </row>
    <row r="3">
      <c r="A3" s="1" t="n"/>
      <c r="B3" s="3" t="inlineStr">
        <is>
          <t>Same product, different platforms — where do you make the most?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16" t="inlineStr">
        <is>
          <t>Enter a product's details and compare profit across all platforms instantly</t>
        </is>
      </c>
    </row>
    <row r="8">
      <c r="B8" s="17" t="inlineStr">
        <is>
          <t>Product Name:</t>
        </is>
      </c>
      <c r="C8" s="18" t="n"/>
    </row>
    <row r="9">
      <c r="B9" s="17" t="inlineStr">
        <is>
          <t>Sale Price:</t>
        </is>
      </c>
      <c r="C9" s="18" t="n"/>
    </row>
    <row r="10">
      <c r="B10" s="17" t="inlineStr">
        <is>
          <t>COGS:</t>
        </is>
      </c>
      <c r="C10" s="18" t="n"/>
    </row>
    <row r="11">
      <c r="B11" s="17" t="inlineStr">
        <is>
          <t>Shipping:</t>
        </is>
      </c>
      <c r="C11" s="18" t="n"/>
    </row>
    <row r="13">
      <c r="B13" s="5" t="inlineStr">
        <is>
          <t>Platform</t>
        </is>
      </c>
      <c r="C13" s="5" t="inlineStr">
        <is>
          <t>Platform Fee</t>
        </is>
      </c>
      <c r="D13" s="5" t="inlineStr">
        <is>
          <t>Payment Fee</t>
        </is>
      </c>
      <c r="E13" s="5" t="inlineStr">
        <is>
          <t>Listing Fee</t>
        </is>
      </c>
      <c r="F13" s="5" t="inlineStr">
        <is>
          <t>Total Fees</t>
        </is>
      </c>
      <c r="G13" s="5" t="inlineStr">
        <is>
          <t>Net Profit</t>
        </is>
      </c>
      <c r="H13" s="5" t="inlineStr">
        <is>
          <t>Margin</t>
        </is>
      </c>
    </row>
    <row r="14">
      <c r="B14" s="19" t="inlineStr">
        <is>
          <t>Etsy</t>
        </is>
      </c>
      <c r="C14" s="6" t="inlineStr">
        <is>
          <t>6.5%</t>
        </is>
      </c>
      <c r="D14" s="6" t="inlineStr">
        <is>
          <t>3.0%</t>
        </is>
      </c>
      <c r="E14" s="7" t="n">
        <v>0.2</v>
      </c>
      <c r="F14" s="7">
        <f>IF(C9="","",(C9*6.5/100)+(C9*3.0/100)+0.2)</f>
        <v/>
      </c>
      <c r="G14" s="9">
        <f>IF(C9="","",C9-C10-C11-F14)</f>
        <v/>
      </c>
      <c r="H14" s="10">
        <f>IF(C9=0,"",G14/C9)</f>
        <v/>
      </c>
    </row>
    <row r="15">
      <c r="B15" s="20" t="inlineStr">
        <is>
          <t>Amazon FBA</t>
        </is>
      </c>
      <c r="C15" s="11" t="inlineStr">
        <is>
          <t>15%</t>
        </is>
      </c>
      <c r="D15" s="11" t="inlineStr">
        <is>
          <t>0%</t>
        </is>
      </c>
      <c r="E15" s="12" t="n">
        <v>0</v>
      </c>
      <c r="F15" s="12">
        <f>IF(C9="","",(C9*15/100)+(C9*0/100)+0)</f>
        <v/>
      </c>
      <c r="G15" s="14">
        <f>IF(C9="","",C9-C10-C11-F15)</f>
        <v/>
      </c>
      <c r="H15" s="15">
        <f>IF(C9=0,"",G15/C9)</f>
        <v/>
      </c>
    </row>
    <row r="16">
      <c r="B16" s="19" t="inlineStr">
        <is>
          <t>Amazon FBM</t>
        </is>
      </c>
      <c r="C16" s="6" t="inlineStr">
        <is>
          <t>15%</t>
        </is>
      </c>
      <c r="D16" s="6" t="inlineStr">
        <is>
          <t>0%</t>
        </is>
      </c>
      <c r="E16" s="7" t="n">
        <v>0</v>
      </c>
      <c r="F16" s="7">
        <f>IF(C9="","",(C9*15/100)+(C9*0/100)+0)</f>
        <v/>
      </c>
      <c r="G16" s="9">
        <f>IF(C9="","",C9-C10-C11-F16)</f>
        <v/>
      </c>
      <c r="H16" s="10">
        <f>IF(C9=0,"",G16/C9)</f>
        <v/>
      </c>
    </row>
    <row r="17">
      <c r="B17" s="20" t="inlineStr">
        <is>
          <t>Shopify</t>
        </is>
      </c>
      <c r="C17" s="11" t="inlineStr">
        <is>
          <t>0%</t>
        </is>
      </c>
      <c r="D17" s="11" t="inlineStr">
        <is>
          <t>2.9%</t>
        </is>
      </c>
      <c r="E17" s="12" t="n">
        <v>0</v>
      </c>
      <c r="F17" s="12">
        <f>IF(C9="","",(C9*0/100)+(C9*2.9/100)+0)</f>
        <v/>
      </c>
      <c r="G17" s="14">
        <f>IF(C9="","",C9-C10-C11-F17)</f>
        <v/>
      </c>
      <c r="H17" s="15">
        <f>IF(C9=0,"",G17/C9)</f>
        <v/>
      </c>
    </row>
    <row r="18">
      <c r="B18" s="19" t="inlineStr">
        <is>
          <t>eBay</t>
        </is>
      </c>
      <c r="C18" s="6" t="inlineStr">
        <is>
          <t>12.9%</t>
        </is>
      </c>
      <c r="D18" s="6" t="inlineStr">
        <is>
          <t>3.0%</t>
        </is>
      </c>
      <c r="E18" s="7" t="n">
        <v>0</v>
      </c>
      <c r="F18" s="7">
        <f>IF(C9="","",(C9*12.9/100)+(C9*3.0/100)+0)</f>
        <v/>
      </c>
      <c r="G18" s="9">
        <f>IF(C9="","",C9-C10-C11-F18)</f>
        <v/>
      </c>
      <c r="H18" s="10">
        <f>IF(C9=0,"",G18/C9)</f>
        <v/>
      </c>
    </row>
    <row r="19">
      <c r="B19" s="20" t="inlineStr">
        <is>
          <t>Gumroad</t>
        </is>
      </c>
      <c r="C19" s="11" t="inlineStr">
        <is>
          <t>10%</t>
        </is>
      </c>
      <c r="D19" s="11" t="inlineStr">
        <is>
          <t>0%</t>
        </is>
      </c>
      <c r="E19" s="12" t="n">
        <v>0</v>
      </c>
      <c r="F19" s="12">
        <f>IF(C9="","",(C9*10/100)+(C9*0/100)+0)</f>
        <v/>
      </c>
      <c r="G19" s="14">
        <f>IF(C9="","",C9-C10-C11-F19)</f>
        <v/>
      </c>
      <c r="H19" s="15">
        <f>IF(C9=0,"",G19/C9)</f>
        <v/>
      </c>
    </row>
    <row r="20">
      <c r="B20" s="19" t="inlineStr">
        <is>
          <t>WooCommerce</t>
        </is>
      </c>
      <c r="C20" s="6" t="inlineStr">
        <is>
          <t>0%</t>
        </is>
      </c>
      <c r="D20" s="6" t="inlineStr">
        <is>
          <t>2.9%</t>
        </is>
      </c>
      <c r="E20" s="7" t="n">
        <v>0</v>
      </c>
      <c r="F20" s="7">
        <f>IF(C9="","",(C9*0/100)+(C9*2.9/100)+0)</f>
        <v/>
      </c>
      <c r="G20" s="9">
        <f>IF(C9="","",C9-C10-C11-F20)</f>
        <v/>
      </c>
      <c r="H20" s="10">
        <f>IF(C9=0,"",G20/C9)</f>
        <v/>
      </c>
    </row>
    <row r="21">
      <c r="B21" s="20" t="inlineStr">
        <is>
          <t>Direct</t>
        </is>
      </c>
      <c r="C21" s="11" t="inlineStr">
        <is>
          <t>0%</t>
        </is>
      </c>
      <c r="D21" s="11" t="inlineStr">
        <is>
          <t>0%</t>
        </is>
      </c>
      <c r="E21" s="12" t="n">
        <v>0</v>
      </c>
      <c r="F21" s="12">
        <f>IF(C9="","",(C9*0/100)+(C9*0/100)+0)</f>
        <v/>
      </c>
      <c r="G21" s="14">
        <f>IF(C9="","",C9-C10-C11-F21)</f>
        <v/>
      </c>
      <c r="H21" s="15">
        <f>IF(C9=0,"",G21/C9)</f>
        <v/>
      </c>
    </row>
  </sheetData>
  <mergeCells count="3">
    <mergeCell ref="B3:I3"/>
    <mergeCell ref="B2:I2"/>
    <mergeCell ref="B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2026-04-26T03:56:02Z</dcterms:created>
  <dcterms:modified xmlns:dcterms="http://purl.org/dc/terms/" xmlns:xsi="http://www.w3.org/2001/XMLSchema-instance" xsi:type="dcterms:W3CDTF">2026-04-26T03:56:02Z</dcterms:modified>
</cp:coreProperties>
</file>