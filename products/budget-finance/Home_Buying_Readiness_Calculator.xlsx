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iness Score" sheetId="1" state="visible" r:id="rId1"/>
    <sheet xmlns:r="http://schemas.openxmlformats.org/officeDocument/2006/relationships" name="Mortgage Comparis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"/>
    <numFmt numFmtId="165" formatCode="0.0%"/>
    <numFmt numFmtId="166" formatCode="0 &quot;months&quot;"/>
    <numFmt numFmtId="167" formatCode="$#,##0.00"/>
  </numFmts>
  <fonts count="11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color rgb="0094A3B8"/>
      <sz val="11"/>
    </font>
    <font>
      <name val="Calibri"/>
      <b val="1"/>
      <color rgb="006366F1"/>
      <sz val="12"/>
    </font>
    <font>
      <name val="Calibri"/>
      <b val="1"/>
      <color rgb="00334155"/>
      <sz val="10"/>
    </font>
    <font>
      <name val="Calibri"/>
      <color rgb="001E40AF"/>
      <sz val="10"/>
    </font>
    <font>
      <name val="Calibri"/>
      <b val="1"/>
      <color rgb="006366F1"/>
      <sz val="10"/>
    </font>
    <font>
      <name val="Calibri"/>
      <b val="1"/>
      <color rgb="00EF4444"/>
      <sz val="10"/>
    </font>
    <font>
      <name val="Calibri"/>
      <b val="1"/>
      <color rgb="006366F1"/>
      <sz val="14"/>
    </font>
    <font>
      <name val="Calibri"/>
      <color rgb="0064748B"/>
      <sz val="9"/>
    </font>
    <font>
      <name val="Calibri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0D1117"/>
      </patternFill>
    </fill>
    <fill>
      <patternFill patternType="solid">
        <fgColor rgb="006366F1"/>
      </patternFill>
    </fill>
    <fill>
      <patternFill patternType="solid">
        <fgColor rgb="00FFFFFF"/>
      </patternFill>
    </fill>
    <fill>
      <patternFill patternType="solid">
        <f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164" fontId="5" fillId="0" borderId="1" pivotButton="0" quotePrefix="0" xfId="0"/>
    <xf numFmtId="0" fontId="4" fillId="0" borderId="0" pivotButton="0" quotePrefix="0" xfId="0"/>
    <xf numFmtId="164" fontId="6" fillId="0" borderId="0" pivotButton="0" quotePrefix="0" xfId="0"/>
    <xf numFmtId="9" fontId="5" fillId="0" borderId="1" pivotButton="0" quotePrefix="0" xfId="0"/>
    <xf numFmtId="164" fontId="6" fillId="0" borderId="1" pivotButton="0" quotePrefix="0" xfId="0"/>
    <xf numFmtId="164" fontId="7" fillId="0" borderId="1" pivotButton="0" quotePrefix="0" xfId="0"/>
    <xf numFmtId="166" fontId="3" fillId="0" borderId="1" pivotButton="0" quotePrefix="0" xfId="0"/>
    <xf numFmtId="164" fontId="7" fillId="0" borderId="0" pivotButton="0" quotePrefix="0" xfId="0"/>
    <xf numFmtId="165" fontId="8" fillId="0" borderId="0" pivotButton="0" quotePrefix="0" xfId="0"/>
    <xf numFmtId="0" fontId="9" fillId="0" borderId="0" pivotButton="0" quotePrefix="0" xfId="0"/>
    <xf numFmtId="0" fontId="10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164" fontId="5" fillId="4" borderId="1" applyAlignment="1" pivotButton="0" quotePrefix="0" xfId="0">
      <alignment horizontal="center" vertical="center" wrapText="1"/>
    </xf>
    <xf numFmtId="10" fontId="5" fillId="4" borderId="1" applyAlignment="1" pivotButton="0" quotePrefix="0" xfId="0">
      <alignment horizontal="center" vertical="center" wrapText="1"/>
    </xf>
    <xf numFmtId="167" fontId="6" fillId="4" borderId="1" applyAlignment="1" pivotButton="0" quotePrefix="0" xfId="0">
      <alignment horizontal="center" vertical="center" wrapText="1"/>
    </xf>
    <xf numFmtId="164" fontId="7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164" fontId="5" fillId="5" borderId="1" applyAlignment="1" pivotButton="0" quotePrefix="0" xfId="0">
      <alignment horizontal="center" vertical="center" wrapText="1"/>
    </xf>
    <xf numFmtId="10" fontId="5" fillId="5" borderId="1" applyAlignment="1" pivotButton="0" quotePrefix="0" xfId="0">
      <alignment horizontal="center" vertical="center" wrapText="1"/>
    </xf>
    <xf numFmtId="167" fontId="6" fillId="5" borderId="1" applyAlignment="1" pivotButton="0" quotePrefix="0" xfId="0">
      <alignment horizontal="center" vertical="center" wrapText="1"/>
    </xf>
    <xf numFmtId="164" fontId="7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6366F1"/>
    <outlinePr summaryBelow="1" summaryRight="1"/>
    <pageSetUpPr/>
  </sheetPr>
  <dimension ref="A1:J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6" customWidth="1" min="3" max="3"/>
    <col width="4" customWidth="1" min="4" max="4"/>
    <col width="22" customWidth="1" min="5" max="5"/>
    <col width="16" customWidth="1" min="6" max="6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1" t="n"/>
      <c r="B2" s="2" t="inlineStr">
        <is>
          <t>HOME BUYING READINESS CALCULATOR</t>
        </is>
      </c>
      <c r="J2" s="1" t="n"/>
    </row>
    <row r="3">
      <c r="A3" s="1" t="n"/>
      <c r="B3" s="3" t="inlineStr">
        <is>
          <t>DTI ratio • Down payment tracker • Mortgage comparison • Closing costs</t>
        </is>
      </c>
      <c r="J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</row>
    <row r="5">
      <c r="E5" s="4" t="inlineStr">
        <is>
          <t>🏠 DOWN PAYMENT SAVINGS</t>
        </is>
      </c>
    </row>
    <row r="6">
      <c r="B6" s="4" t="inlineStr">
        <is>
          <t>💰 INCOME &amp; DEBT ANALYSIS</t>
        </is>
      </c>
    </row>
    <row r="8">
      <c r="B8" s="5" t="inlineStr">
        <is>
          <t>Annual Gross Income:</t>
        </is>
      </c>
      <c r="C8" s="6" t="n"/>
      <c r="E8" s="7" t="inlineStr">
        <is>
          <t>Target Home Price:</t>
        </is>
      </c>
      <c r="F8" s="6" t="n"/>
    </row>
    <row r="9">
      <c r="B9" s="5" t="inlineStr">
        <is>
          <t>Monthly Gross:</t>
        </is>
      </c>
      <c r="C9" s="8">
        <f>IF(C8="","",C8/12)</f>
        <v/>
      </c>
      <c r="E9" s="7" t="inlineStr">
        <is>
          <t>Down Payment % :</t>
        </is>
      </c>
      <c r="F9" s="9" t="n"/>
    </row>
    <row r="10">
      <c r="B10" s="5" t="inlineStr"/>
      <c r="E10" s="7" t="inlineStr">
        <is>
          <t>Down Payment Needed:</t>
        </is>
      </c>
      <c r="F10" s="10">
        <f>IF(F8="","",F8*F9)</f>
        <v/>
      </c>
    </row>
    <row r="11">
      <c r="B11" s="5" t="inlineStr">
        <is>
          <t>Monthly Debts:</t>
        </is>
      </c>
      <c r="E11" s="7" t="inlineStr">
        <is>
          <t>Current Savings:</t>
        </is>
      </c>
      <c r="F11" s="6" t="n"/>
    </row>
    <row r="12">
      <c r="B12" s="5" t="inlineStr">
        <is>
          <t>Car Payment:</t>
        </is>
      </c>
      <c r="C12" s="6" t="n"/>
      <c r="E12" s="7" t="inlineStr">
        <is>
          <t>Still Need:</t>
        </is>
      </c>
      <c r="F12" s="11">
        <f>IF(F10="","",MAX(0,F10-F11))</f>
        <v/>
      </c>
    </row>
    <row r="13">
      <c r="B13" s="5" t="inlineStr">
        <is>
          <t>Student Loans:</t>
        </is>
      </c>
      <c r="C13" s="6" t="n"/>
      <c r="E13" s="7" t="inlineStr">
        <is>
          <t>Monthly Savings:</t>
        </is>
      </c>
      <c r="F13" s="6" t="n"/>
    </row>
    <row r="14">
      <c r="B14" s="5" t="inlineStr">
        <is>
          <t>Credit Cards:</t>
        </is>
      </c>
      <c r="C14" s="6" t="n"/>
      <c r="E14" s="7" t="inlineStr">
        <is>
          <t>Months to Goal:</t>
        </is>
      </c>
      <c r="F14" s="12">
        <f>IF(OR(F13=0,F13=""),"",CEILING(F12/F13,1))</f>
        <v/>
      </c>
    </row>
    <row r="15">
      <c r="B15" s="5" t="inlineStr">
        <is>
          <t>Other Debts:</t>
        </is>
      </c>
      <c r="C15" s="6" t="n"/>
    </row>
    <row r="16">
      <c r="B16" s="5" t="inlineStr">
        <is>
          <t>Total Monthly Debt:</t>
        </is>
      </c>
      <c r="C16" s="13">
        <f>SUM(C12:C15)</f>
        <v/>
      </c>
    </row>
    <row r="17">
      <c r="B17" s="5" t="inlineStr"/>
    </row>
    <row r="18">
      <c r="B18" s="5" t="inlineStr">
        <is>
          <t>DTI Ratio:</t>
        </is>
      </c>
      <c r="C18" s="14">
        <f>IF(C9=0,"",C16/C9)</f>
        <v/>
      </c>
    </row>
    <row r="19">
      <c r="B19" s="5" t="inlineStr">
        <is>
          <t>Max DTI (43%):</t>
        </is>
      </c>
      <c r="C19" s="15" t="inlineStr">
        <is>
          <t>43%</t>
        </is>
      </c>
    </row>
  </sheetData>
  <mergeCells count="3">
    <mergeCell ref="B3:I3"/>
    <mergeCell ref="B2:I2"/>
    <mergeCell ref="B6:I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0B981"/>
    <outlinePr summaryBelow="1" summaryRight="1"/>
    <pageSetUpPr/>
  </sheetPr>
  <dimension ref="A1:J1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14" customWidth="1" min="3" max="3"/>
    <col width="10" customWidth="1" min="4" max="4"/>
    <col width="12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1" t="n"/>
      <c r="B2" s="2" t="inlineStr">
        <is>
          <t>MORTGAGE COMPARISON TOOL</t>
        </is>
      </c>
      <c r="J2" s="1" t="n"/>
    </row>
    <row r="3">
      <c r="A3" s="1" t="n"/>
      <c r="B3" s="3" t="inlineStr">
        <is>
          <t>Compare rates, terms, and total costs side by side</t>
        </is>
      </c>
      <c r="J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</row>
    <row r="6">
      <c r="B6" s="16" t="inlineStr">
        <is>
          <t>Lender</t>
        </is>
      </c>
      <c r="C6" s="16" t="inlineStr">
        <is>
          <t>Loan Amount</t>
        </is>
      </c>
      <c r="D6" s="16" t="inlineStr">
        <is>
          <t>Interest Rate</t>
        </is>
      </c>
      <c r="E6" s="16" t="inlineStr">
        <is>
          <t>Term (Years)</t>
        </is>
      </c>
      <c r="F6" s="16" t="inlineStr">
        <is>
          <t>Monthly Payment</t>
        </is>
      </c>
      <c r="G6" s="16" t="inlineStr">
        <is>
          <t>Total Paid</t>
        </is>
      </c>
      <c r="H6" s="16" t="inlineStr">
        <is>
          <t>Total Interest</t>
        </is>
      </c>
      <c r="I6" s="16" t="inlineStr">
        <is>
          <t>Closing Costs</t>
        </is>
      </c>
      <c r="J6" s="16" t="inlineStr">
        <is>
          <t>True Cost</t>
        </is>
      </c>
    </row>
    <row r="7">
      <c r="B7" s="17" t="n"/>
      <c r="C7" s="18" t="n"/>
      <c r="D7" s="19" t="n"/>
      <c r="E7" s="17" t="n"/>
      <c r="F7" s="20">
        <f>IF(OR(C7="",D7="",E7=""),"",PMT(D7/12,E7*12,-C7))</f>
        <v/>
      </c>
      <c r="G7" s="18">
        <f>IF(F7="","",F7*E7*12)</f>
        <v/>
      </c>
      <c r="H7" s="18">
        <f>IF(G7="","",G7-C7)</f>
        <v/>
      </c>
      <c r="I7" s="18" t="n"/>
      <c r="J7" s="21">
        <f>IF(G7="","",G7+I7)</f>
        <v/>
      </c>
    </row>
    <row r="8">
      <c r="B8" s="22" t="n"/>
      <c r="C8" s="23" t="n"/>
      <c r="D8" s="24" t="n"/>
      <c r="E8" s="22" t="n"/>
      <c r="F8" s="25">
        <f>IF(OR(C8="",D8="",E8=""),"",PMT(D8/12,E8*12,-C8))</f>
        <v/>
      </c>
      <c r="G8" s="23">
        <f>IF(F8="","",F8*E8*12)</f>
        <v/>
      </c>
      <c r="H8" s="23">
        <f>IF(G8="","",G8-C8)</f>
        <v/>
      </c>
      <c r="I8" s="23" t="n"/>
      <c r="J8" s="26">
        <f>IF(G8="","",G8+I8)</f>
        <v/>
      </c>
    </row>
    <row r="9">
      <c r="B9" s="17" t="n"/>
      <c r="C9" s="18" t="n"/>
      <c r="D9" s="19" t="n"/>
      <c r="E9" s="17" t="n"/>
      <c r="F9" s="20">
        <f>IF(OR(C9="",D9="",E9=""),"",PMT(D9/12,E9*12,-C9))</f>
        <v/>
      </c>
      <c r="G9" s="18">
        <f>IF(F9="","",F9*E9*12)</f>
        <v/>
      </c>
      <c r="H9" s="18">
        <f>IF(G9="","",G9-C9)</f>
        <v/>
      </c>
      <c r="I9" s="18" t="n"/>
      <c r="J9" s="21">
        <f>IF(G9="","",G9+I9)</f>
        <v/>
      </c>
    </row>
    <row r="10">
      <c r="B10" s="22" t="n"/>
      <c r="C10" s="23" t="n"/>
      <c r="D10" s="24" t="n"/>
      <c r="E10" s="22" t="n"/>
      <c r="F10" s="25">
        <f>IF(OR(C10="",D10="",E10=""),"",PMT(D10/12,E10*12,-C10))</f>
        <v/>
      </c>
      <c r="G10" s="23">
        <f>IF(F10="","",F10*E10*12)</f>
        <v/>
      </c>
      <c r="H10" s="23">
        <f>IF(G10="","",G10-C10)</f>
        <v/>
      </c>
      <c r="I10" s="23" t="n"/>
      <c r="J10" s="26">
        <f>IF(G10="","",G10+I10)</f>
        <v/>
      </c>
    </row>
    <row r="11">
      <c r="B11" s="17" t="n"/>
      <c r="C11" s="18" t="n"/>
      <c r="D11" s="19" t="n"/>
      <c r="E11" s="17" t="n"/>
      <c r="F11" s="20">
        <f>IF(OR(C11="",D11="",E11=""),"",PMT(D11/12,E11*12,-C11))</f>
        <v/>
      </c>
      <c r="G11" s="18">
        <f>IF(F11="","",F11*E11*12)</f>
        <v/>
      </c>
      <c r="H11" s="18">
        <f>IF(G11="","",G11-C11)</f>
        <v/>
      </c>
      <c r="I11" s="18" t="n"/>
      <c r="J11" s="21">
        <f>IF(G11="","",G11+I11)</f>
        <v/>
      </c>
    </row>
    <row r="12">
      <c r="B12" s="22" t="n"/>
      <c r="C12" s="23" t="n"/>
      <c r="D12" s="24" t="n"/>
      <c r="E12" s="22" t="n"/>
      <c r="F12" s="25">
        <f>IF(OR(C12="",D12="",E12=""),"",PMT(D12/12,E12*12,-C12))</f>
        <v/>
      </c>
      <c r="G12" s="23">
        <f>IF(F12="","",F12*E12*12)</f>
        <v/>
      </c>
      <c r="H12" s="23">
        <f>IF(G12="","",G12-C12)</f>
        <v/>
      </c>
      <c r="I12" s="23" t="n"/>
      <c r="J12" s="26">
        <f>IF(G12="","",G12+I12)</f>
        <v/>
      </c>
    </row>
  </sheetData>
  <mergeCells count="2">
    <mergeCell ref="B3:I3"/>
    <mergeCell ref="B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2026-04-26T03:58:55Z</dcterms:created>
  <dcterms:modified xmlns:dcterms="http://purl.org/dc/terms/" xmlns:xsi="http://www.w3.org/2001/XMLSchema-instance" xsi:type="dcterms:W3CDTF">2026-04-26T03:58:55Z</dcterms:modified>
</cp:coreProperties>
</file>